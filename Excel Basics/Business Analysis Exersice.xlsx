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E59709C5-F066-4652-BBD1-D18610A82AE4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Raw Data" sheetId="1" r:id="rId1"/>
    <sheet name="Calculations" sheetId="2" r:id="rId2"/>
    <sheet name="Summary dashboard" sheetId="3" r:id="rId3"/>
    <sheet name="Insight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2" l="1"/>
  <c r="E24" i="2"/>
  <c r="E25" i="2"/>
  <c r="E26" i="2"/>
  <c r="D23" i="2"/>
  <c r="D24" i="2"/>
  <c r="D25" i="2"/>
  <c r="D26" i="2"/>
  <c r="C23" i="2"/>
  <c r="C24" i="2"/>
  <c r="C25" i="2"/>
  <c r="C26" i="2"/>
  <c r="B23" i="2"/>
  <c r="B24" i="2"/>
  <c r="B25" i="2"/>
  <c r="B26" i="2"/>
  <c r="H18" i="2"/>
  <c r="H17" i="2"/>
  <c r="E17" i="2"/>
  <c r="E18" i="2"/>
  <c r="B17" i="2"/>
  <c r="B18" i="2"/>
  <c r="B19" i="2"/>
  <c r="L2" i="1"/>
  <c r="L3" i="1"/>
  <c r="L4" i="1"/>
  <c r="L5" i="1"/>
  <c r="L6" i="1"/>
  <c r="L7" i="1"/>
  <c r="L8" i="1"/>
  <c r="L9" i="1"/>
  <c r="L10" i="1"/>
  <c r="L11" i="1"/>
  <c r="G10" i="2"/>
  <c r="G11" i="2"/>
  <c r="G12" i="2"/>
  <c r="G13" i="2"/>
  <c r="F10" i="2"/>
  <c r="F11" i="2"/>
  <c r="F12" i="2"/>
  <c r="F13" i="2"/>
  <c r="E10" i="2"/>
  <c r="E11" i="2"/>
  <c r="E12" i="2"/>
  <c r="E13" i="2"/>
  <c r="D10" i="2"/>
  <c r="D11" i="2"/>
  <c r="D12" i="2"/>
  <c r="D13" i="2"/>
  <c r="C10" i="2"/>
  <c r="C11" i="2"/>
  <c r="C12" i="2"/>
  <c r="C13" i="2"/>
  <c r="B10" i="2"/>
  <c r="B11" i="2"/>
  <c r="B12" i="2"/>
  <c r="B13" i="2"/>
  <c r="C5" i="2"/>
  <c r="C4" i="2"/>
  <c r="C3" i="2"/>
  <c r="C2" i="2"/>
</calcChain>
</file>

<file path=xl/sharedStrings.xml><?xml version="1.0" encoding="utf-8"?>
<sst xmlns="http://schemas.openxmlformats.org/spreadsheetml/2006/main" count="112" uniqueCount="55">
  <si>
    <t>Order_ID</t>
  </si>
  <si>
    <t>Date</t>
  </si>
  <si>
    <t>Sales_Rep</t>
  </si>
  <si>
    <t>Region</t>
  </si>
  <si>
    <t>Product_Category</t>
  </si>
  <si>
    <t>Units_Sold</t>
  </si>
  <si>
    <t>Unit_Price</t>
  </si>
  <si>
    <t>Discount_%</t>
  </si>
  <si>
    <t>Revenue</t>
  </si>
  <si>
    <t>Target_Met</t>
  </si>
  <si>
    <t>Customer_Type</t>
  </si>
  <si>
    <t>Amina</t>
  </si>
  <si>
    <t>East</t>
  </si>
  <si>
    <t>Electronics</t>
  </si>
  <si>
    <t>Yes</t>
  </si>
  <si>
    <t>New</t>
  </si>
  <si>
    <t>Brian</t>
  </si>
  <si>
    <t>West</t>
  </si>
  <si>
    <t>Furniture</t>
  </si>
  <si>
    <t>No</t>
  </si>
  <si>
    <t>Returning</t>
  </si>
  <si>
    <t>Office Supplies</t>
  </si>
  <si>
    <t>David</t>
  </si>
  <si>
    <t>South</t>
  </si>
  <si>
    <t>Clara</t>
  </si>
  <si>
    <t>North</t>
  </si>
  <si>
    <t>SECTION A: KPIs</t>
  </si>
  <si>
    <t>Total Revenue</t>
  </si>
  <si>
    <t>Average Order Value</t>
  </si>
  <si>
    <t>Total Orders</t>
  </si>
  <si>
    <t>% Target met</t>
  </si>
  <si>
    <t>SECTION B: Sales Rep Performance Table</t>
  </si>
  <si>
    <t>Sales Rep</t>
  </si>
  <si>
    <t>Avg Revenue</t>
  </si>
  <si>
    <t>Orders per Rep</t>
  </si>
  <si>
    <t>Performance Flag</t>
  </si>
  <si>
    <t>Product Category</t>
  </si>
  <si>
    <t>Target status</t>
  </si>
  <si>
    <t>Number of orders</t>
  </si>
  <si>
    <t>Target Met</t>
  </si>
  <si>
    <t>Target not Met</t>
  </si>
  <si>
    <t>Customer Type</t>
  </si>
  <si>
    <t>New Customers</t>
  </si>
  <si>
    <t>Returning Customers</t>
  </si>
  <si>
    <t>Key Insights from Anlysis</t>
  </si>
  <si>
    <t>Electronics generated the highest revenue across all regions</t>
  </si>
  <si>
    <t>Brian contributed the highest total sales amongst all sales reps</t>
  </si>
  <si>
    <t>New customers generated more revenue as compared to returning customers</t>
  </si>
  <si>
    <t>Over 60% of the targets set were met</t>
  </si>
  <si>
    <t>In terms of regions, the East region generated the highest revenue as compared to the other regions</t>
  </si>
  <si>
    <t>Electronics remain the leading product in terms of revenue across all regions.</t>
  </si>
  <si>
    <t>Recommendations</t>
  </si>
  <si>
    <t>Increase stock allocations for electronics in high-performing regions</t>
  </si>
  <si>
    <t>Replicate Brian's sales approach across the team to in order to achieve high results</t>
  </si>
  <si>
    <t>Increase the number of sales reps to cover even larger regions so that we reach more new customer and upscale our total revenue even further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</si>
</sst>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5" fontId="0" fillId="0" borderId="0" xfId="0" applyNumberFormat="1"/>
    <xf numFmtId="9" fontId="0" fillId="0" borderId="0" xfId="0" applyNumberFormat="1"/>
    <xf numFmtId="0" fontId="1" fillId="0" borderId="0" xfId="0" applyFont="1"/>
    <xf numFmtId="10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3" formatCode="0%"/>
    </dxf>
    <dxf>
      <numFmt numFmtId="20" formatCode="d/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Revenue by Sales Rep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3.888888888888889E-2"/>
          <c:y val="0.19432888597258677"/>
          <c:w val="0.93888888888888888"/>
          <c:h val="0.6982717264508603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Calculations!$A$10:$A$13</c:f>
              <c:strCache>
                <c:ptCount val="4"/>
                <c:pt idx="0">
                  <c:v>Amina</c:v>
                </c:pt>
                <c:pt idx="1">
                  <c:v>Brian</c:v>
                </c:pt>
                <c:pt idx="2">
                  <c:v>David</c:v>
                </c:pt>
                <c:pt idx="3">
                  <c:v>Clara</c:v>
                </c:pt>
              </c:strCache>
            </c:strRef>
          </c:cat>
          <c:val>
            <c:numRef>
              <c:f>Calculations!$B$10:$B$13</c:f>
              <c:numCache>
                <c:formatCode>General</c:formatCode>
                <c:ptCount val="4"/>
                <c:pt idx="0">
                  <c:v>165000</c:v>
                </c:pt>
                <c:pt idx="1">
                  <c:v>173200</c:v>
                </c:pt>
                <c:pt idx="2">
                  <c:v>40500</c:v>
                </c:pt>
                <c:pt idx="3">
                  <c:v>105400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F1-49BE-8D78-5B63555FD1F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-474489344"/>
        <c:axId val="-474487168"/>
      </c:barChart>
      <c:catAx>
        <c:axId val="-47448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74487168"/>
        <c:crosses val="autoZero"/>
        <c:auto val="1"/>
        <c:lblAlgn val="ctr"/>
        <c:lblOffset val="100"/>
        <c:noMultiLvlLbl val="0"/>
      </c:catAx>
      <c:valAx>
        <c:axId val="-4744871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47448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by product category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Calculations!$B$16</c:f>
              <c:strCache>
                <c:ptCount val="1"/>
                <c:pt idx="0">
                  <c:v>Total Revenue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Calculations!$A$17:$A$19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Office Supplies</c:v>
                </c:pt>
              </c:strCache>
            </c:strRef>
          </c:cat>
          <c:val>
            <c:numRef>
              <c:f>Calculations!$B$17:$B$19</c:f>
              <c:numCache>
                <c:formatCode>General</c:formatCode>
                <c:ptCount val="3"/>
                <c:pt idx="0">
                  <c:v>222600</c:v>
                </c:pt>
                <c:pt idx="1">
                  <c:v>216500</c:v>
                </c:pt>
                <c:pt idx="2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CD-4D6C-8623-93E8C76E71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-474488800"/>
        <c:axId val="-474499136"/>
      </c:barChart>
      <c:catAx>
        <c:axId val="-4744888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74499136"/>
        <c:crosses val="autoZero"/>
        <c:auto val="1"/>
        <c:lblAlgn val="ctr"/>
        <c:lblOffset val="100"/>
        <c:noMultiLvlLbl val="0"/>
      </c:catAx>
      <c:valAx>
        <c:axId val="-474499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7448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Target</a:t>
            </a:r>
            <a:r>
              <a:rPr lang="en-US" baseline="0"/>
              <a:t> met vs Target not met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Calculations!$E$16</c:f>
              <c:strCache>
                <c:ptCount val="1"/>
                <c:pt idx="0">
                  <c:v>Number of orders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1936-4554-B058-DA377C139BB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1936-4554-B058-DA377C139BBB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Calculations!$D$17:$D$18</c:f>
              <c:strCache>
                <c:ptCount val="2"/>
                <c:pt idx="0">
                  <c:v>Target Met</c:v>
                </c:pt>
                <c:pt idx="1">
                  <c:v>Target not Met</c:v>
                </c:pt>
              </c:strCache>
            </c:strRef>
          </c:cat>
          <c:val>
            <c:numRef>
              <c:f>Calculations!$E$17:$E$18</c:f>
              <c:numCache>
                <c:formatCode>General</c:formatCode>
                <c:ptCount val="2"/>
                <c:pt idx="0">
                  <c:v>6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936-4554-B058-DA377C139BBB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</a:t>
            </a:r>
            <a:r>
              <a:rPr lang="en-US" baseline="0"/>
              <a:t> vs Returning customer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Calculations!$H$16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Calculations!$G$17:$G$18</c:f>
              <c:strCache>
                <c:ptCount val="2"/>
                <c:pt idx="0">
                  <c:v>New Customers</c:v>
                </c:pt>
                <c:pt idx="1">
                  <c:v>Returning Customers</c:v>
                </c:pt>
              </c:strCache>
            </c:strRef>
          </c:cat>
          <c:val>
            <c:numRef>
              <c:f>Calculations!$H$17:$H$18</c:f>
              <c:numCache>
                <c:formatCode>General</c:formatCode>
                <c:ptCount val="2"/>
                <c:pt idx="0">
                  <c:v>326100</c:v>
                </c:pt>
                <c:pt idx="1">
                  <c:v>158000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50-47FF-B546-25996B2F367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-480179824"/>
        <c:axId val="-480174928"/>
      </c:barChart>
      <c:catAx>
        <c:axId val="-4801798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480174928"/>
        <c:crosses val="autoZero"/>
        <c:auto val="1"/>
        <c:lblAlgn val="ctr"/>
        <c:lblOffset val="100"/>
        <c:noMultiLvlLbl val="0"/>
      </c:catAx>
      <c:valAx>
        <c:axId val="-48017492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-48017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per Region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Calculations!$A$23:$A$26</c:f>
              <c:strCache>
                <c:ptCount val="4"/>
                <c:pt idx="0">
                  <c:v>East</c:v>
                </c:pt>
                <c:pt idx="1">
                  <c:v>West</c:v>
                </c:pt>
                <c:pt idx="2">
                  <c:v>North</c:v>
                </c:pt>
                <c:pt idx="3">
                  <c:v>South</c:v>
                </c:pt>
              </c:strCache>
            </c:strRef>
          </c:cat>
          <c:val>
            <c:numRef>
              <c:f>Calculations!$B$23:$B$26</c:f>
              <c:numCache>
                <c:formatCode>General</c:formatCode>
                <c:ptCount val="4"/>
                <c:pt idx="0">
                  <c:v>165000</c:v>
                </c:pt>
                <c:pt idx="1">
                  <c:v>173200</c:v>
                </c:pt>
                <c:pt idx="2">
                  <c:v>105400</c:v>
                </c:pt>
                <c:pt idx="3">
                  <c:v>40500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AC-4087-B509-D0F5DCE28D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5"/>
        <c:overlap val="-20"/>
        <c:axId val="-135716736"/>
        <c:axId val="-135723808"/>
      </c:barChart>
      <c:catAx>
        <c:axId val="-1357167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5723808"/>
        <c:crosses val="autoZero"/>
        <c:auto val="1"/>
        <c:lblAlgn val="ctr"/>
        <c:lblOffset val="100"/>
        <c:noMultiLvlLbl val="0"/>
      </c:catAx>
      <c:valAx>
        <c:axId val="-135723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357167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1</xdr:row>
      <xdr:rowOff>138112</xdr:rowOff>
    </xdr:from>
    <xdr:to>
      <xdr:col>8</xdr:col>
      <xdr:colOff>19050</xdr:colOff>
      <xdr:row>16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542925</xdr:colOff>
      <xdr:row>2</xdr:row>
      <xdr:rowOff>14287</xdr:rowOff>
    </xdr:from>
    <xdr:to>
      <xdr:col>17</xdr:col>
      <xdr:colOff>238125</xdr:colOff>
      <xdr:row>16</xdr:row>
      <xdr:rowOff>90487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342900</xdr:colOff>
      <xdr:row>20</xdr:row>
      <xdr:rowOff>128587</xdr:rowOff>
    </xdr:from>
    <xdr:to>
      <xdr:col>8</xdr:col>
      <xdr:colOff>38100</xdr:colOff>
      <xdr:row>35</xdr:row>
      <xdr:rowOff>14287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276225</xdr:colOff>
      <xdr:row>20</xdr:row>
      <xdr:rowOff>119062</xdr:rowOff>
    </xdr:from>
    <xdr:to>
      <xdr:col>16</xdr:col>
      <xdr:colOff>581025</xdr:colOff>
      <xdr:row>35</xdr:row>
      <xdr:rowOff>4762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342900</xdr:colOff>
      <xdr:row>37</xdr:row>
      <xdr:rowOff>42862</xdr:rowOff>
    </xdr:from>
    <xdr:to>
      <xdr:col>8</xdr:col>
      <xdr:colOff>38100</xdr:colOff>
      <xdr:row>51</xdr:row>
      <xdr:rowOff>119062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ales_Data" displayName="Sales_Data" ref="A1:L11" totalsRowShown="0">
  <autoFilter ref="A1:L11" xr:uid="{00000000-0009-0000-0100-000001000000}"/>
  <tableColumns count="12">
    <tableColumn id="1" xr3:uid="{00000000-0010-0000-0000-000001000000}" name="Order_ID"/>
    <tableColumn id="2" xr3:uid="{00000000-0010-0000-0000-000002000000}" name="Date" dataDxfId="14"/>
    <tableColumn id="3" xr3:uid="{00000000-0010-0000-0000-000003000000}" name="Sales_Rep"/>
    <tableColumn id="4" xr3:uid="{00000000-0010-0000-0000-000004000000}" name="Region"/>
    <tableColumn id="5" xr3:uid="{00000000-0010-0000-0000-000005000000}" name="Product_Category"/>
    <tableColumn id="6" xr3:uid="{00000000-0010-0000-0000-000006000000}" name="Units_Sold"/>
    <tableColumn id="7" xr3:uid="{00000000-0010-0000-0000-000007000000}" name="Unit_Price"/>
    <tableColumn id="8" xr3:uid="{00000000-0010-0000-0000-000008000000}" name="Discount_%" dataDxfId="13"/>
    <tableColumn id="9" xr3:uid="{00000000-0010-0000-0000-000009000000}" name="Revenue"/>
    <tableColumn id="10" xr3:uid="{00000000-0010-0000-0000-00000A000000}" name="Target_Met"/>
    <tableColumn id="11" xr3:uid="{00000000-0010-0000-0000-00000B000000}" name="Customer_Type"/>
    <tableColumn id="12" xr3:uid="{00000000-0010-0000-0000-00000C000000}" name="Performance Flag" dataDxfId="12">
      <calculatedColumnFormula>IF(AND(Sales_Data[[#This Row],[Revenue]]&gt;=50000,Sales_Data[[#This Row],[Target_Met]]="Yes"),"High Perfomer","Needs Review")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ales_rep_performance" displayName="Sales_rep_performance" ref="A9:G13">
  <autoFilter ref="A9:G13" xr:uid="{00000000-0009-0000-0100-000002000000}"/>
  <tableColumns count="7">
    <tableColumn id="1" xr3:uid="{00000000-0010-0000-0100-000001000000}" name="Sales Rep" totalsRowLabel="Total"/>
    <tableColumn id="2" xr3:uid="{00000000-0010-0000-0100-000002000000}" name="Total Revenue" dataDxfId="11">
      <calculatedColumnFormula>SUMIF(Sales_Data[Sales_Rep],Sales_rep_performance[[#This Row],[Sales Rep]],Sales_Data[Revenue])</calculatedColumnFormula>
    </tableColumn>
    <tableColumn id="3" xr3:uid="{00000000-0010-0000-0100-000003000000}" name="Orders per Rep" dataDxfId="10">
      <calculatedColumnFormula>COUNTIF(Sales_Data[Sales_Rep],Sales_rep_performance[[#This Row],[Sales Rep]])</calculatedColumnFormula>
    </tableColumn>
    <tableColumn id="4" xr3:uid="{00000000-0010-0000-0100-000004000000}" name="Avg Revenue" dataDxfId="9">
      <calculatedColumnFormula>AVERAGEIF(Sales_Data[Sales_Rep],Sales_rep_performance[[#This Row],[Sales Rep]],Sales_Data[Revenue])</calculatedColumnFormula>
    </tableColumn>
    <tableColumn id="5" xr3:uid="{00000000-0010-0000-0100-000005000000}" name="Electronics" totalsRowFunction="sum" dataDxfId="8">
      <calculatedColumnFormula>SUMIFS(Sales_Data[Revenue],Sales_Data[Product_Category],"Electronics",Sales_Data[Sales_Rep],Sales_rep_performance[[#This Row],[Sales Rep]])</calculatedColumnFormula>
    </tableColumn>
    <tableColumn id="6" xr3:uid="{00000000-0010-0000-0100-000006000000}" name="Furniture" totalsRowFunction="sum" dataDxfId="7">
      <calculatedColumnFormula>SUMIFS(Sales_Data[Revenue],Sales_Data[Product_Category],"Furniture",Sales_Data[Sales_Rep],Sales_rep_performance[[#This Row],[Sales Rep]])</calculatedColumnFormula>
    </tableColumn>
    <tableColumn id="7" xr3:uid="{00000000-0010-0000-0100-000007000000}" name="Office Supplies" totalsRowFunction="sum" dataDxfId="6">
      <calculatedColumnFormula>SUMIFS(Sales_Data[Revenue],Sales_Data[Product_Category],"Office Supplies",Sales_Data[Sales_Rep],Sales_rep_performance[[#This Row],[Sales Rep]])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Revenue_by_productcategory" displayName="Revenue_by_productcategory" ref="A16:B19" totalsRowShown="0">
  <autoFilter ref="A16:B19" xr:uid="{00000000-0009-0000-0100-000003000000}"/>
  <tableColumns count="2">
    <tableColumn id="1" xr3:uid="{00000000-0010-0000-0200-000001000000}" name="Product Category"/>
    <tableColumn id="2" xr3:uid="{00000000-0010-0000-0200-000002000000}" name="Total Revenue" dataDxfId="5">
      <calculatedColumnFormula>SUMIF(Sales_Data[Product_Category],Revenue_by_productcategory[[#This Row],[Product Category]],Sales_Data[Revenue])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rget_Met" displayName="Target_Met" ref="D16:E18" totalsRowShown="0">
  <autoFilter ref="D16:E18" xr:uid="{00000000-0009-0000-0100-000004000000}"/>
  <tableColumns count="2">
    <tableColumn id="1" xr3:uid="{00000000-0010-0000-0300-000001000000}" name="Target status"/>
    <tableColumn id="2" xr3:uid="{00000000-0010-0000-0300-000002000000}" name="Number of orders" dataDxfId="4">
      <calculatedColumnFormula>COUNTIF(Sales_Data[Target_Met],"Yes")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Customer_Type" displayName="Customer_Type" ref="G16:H18" totalsRowShown="0">
  <autoFilter ref="G16:H18" xr:uid="{00000000-0009-0000-0100-000005000000}"/>
  <tableColumns count="2">
    <tableColumn id="1" xr3:uid="{00000000-0010-0000-0400-000001000000}" name="Customer Type"/>
    <tableColumn id="2" xr3:uid="{00000000-0010-0000-0400-000002000000}" name="Reven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5000000}" name="Revenue_per_Region" displayName="Revenue_per_Region" ref="A22:E26" totalsRowShown="0">
  <autoFilter ref="A22:E26" xr:uid="{00000000-0009-0000-0100-000007000000}"/>
  <tableColumns count="5">
    <tableColumn id="1" xr3:uid="{00000000-0010-0000-0500-000001000000}" name="Region"/>
    <tableColumn id="2" xr3:uid="{00000000-0010-0000-0500-000002000000}" name="Total Revenue" dataDxfId="3">
      <calculatedColumnFormula>SUMIF(Sales_Data[Region],Revenue_per_Region[[#This Row],[Region]],Sales_Data[Revenue])</calculatedColumnFormula>
    </tableColumn>
    <tableColumn id="3" xr3:uid="{00000000-0010-0000-0500-000003000000}" name="Electronics" dataDxfId="2">
      <calculatedColumnFormula>SUMIFS(Sales_Data[Revenue],Sales_Data[Product_Category],"Electronics",Sales_Data[Region],Revenue_per_Region[[#This Row],[Region]])</calculatedColumnFormula>
    </tableColumn>
    <tableColumn id="4" xr3:uid="{00000000-0010-0000-0500-000004000000}" name="Furniture" dataDxfId="1">
      <calculatedColumnFormula>SUMIFS(Sales_Data[Revenue],Sales_Data[Product_Category],"Furniture",Sales_Data[Region],Revenue_per_Region[[#This Row],[Region]])</calculatedColumnFormula>
    </tableColumn>
    <tableColumn id="5" xr3:uid="{00000000-0010-0000-0500-000005000000}" name="Office Supplies" dataDxfId="0">
      <calculatedColumnFormula>SUMIFS(Sales_Data[Revenue],Sales_Data[Product_Category],"Office Supplies",Sales_Data[Region],Revenue_per_Region[[#This Row],[Region]])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workbookViewId="0">
      <selection activeCell="E17" sqref="E17"/>
    </sheetView>
  </sheetViews>
  <sheetFormatPr defaultRowHeight="15" x14ac:dyDescent="0.25"/>
  <cols>
    <col min="1" max="1" width="11.140625" customWidth="1"/>
    <col min="2" max="2" width="11.5703125" customWidth="1"/>
    <col min="3" max="3" width="13.42578125" customWidth="1"/>
    <col min="4" max="4" width="9.28515625" customWidth="1"/>
    <col min="5" max="5" width="18.85546875" customWidth="1"/>
    <col min="6" max="6" width="12.7109375" customWidth="1"/>
    <col min="7" max="7" width="12.42578125" customWidth="1"/>
    <col min="8" max="8" width="13.42578125" customWidth="1"/>
    <col min="9" max="9" width="13.28515625" customWidth="1"/>
    <col min="10" max="10" width="13.42578125" customWidth="1"/>
    <col min="11" max="11" width="17" customWidth="1"/>
    <col min="12" max="12" width="16.7109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35</v>
      </c>
    </row>
    <row r="2" spans="1:12" x14ac:dyDescent="0.25">
      <c r="A2">
        <v>1001</v>
      </c>
      <c r="B2" s="1">
        <v>45658</v>
      </c>
      <c r="C2" t="s">
        <v>11</v>
      </c>
      <c r="D2" t="s">
        <v>12</v>
      </c>
      <c r="E2" t="s">
        <v>13</v>
      </c>
      <c r="F2">
        <v>3</v>
      </c>
      <c r="G2">
        <v>25000</v>
      </c>
      <c r="H2" s="2">
        <v>0.1</v>
      </c>
      <c r="I2">
        <v>67500</v>
      </c>
      <c r="J2" t="s">
        <v>14</v>
      </c>
      <c r="K2" t="s">
        <v>15</v>
      </c>
      <c r="L2" t="str">
        <f>IF(AND(Sales_Data[[#This Row],[Revenue]]&gt;=50000,Sales_Data[[#This Row],[Target_Met]]="Yes"),"High Perfomer","Needs Review")</f>
        <v>High Perfomer</v>
      </c>
    </row>
    <row r="3" spans="1:12" x14ac:dyDescent="0.25">
      <c r="A3">
        <v>1002</v>
      </c>
      <c r="B3" s="1">
        <v>45659</v>
      </c>
      <c r="C3" t="s">
        <v>16</v>
      </c>
      <c r="D3" t="s">
        <v>17</v>
      </c>
      <c r="E3" t="s">
        <v>18</v>
      </c>
      <c r="F3">
        <v>2</v>
      </c>
      <c r="G3">
        <v>40000</v>
      </c>
      <c r="H3" s="2">
        <v>0.05</v>
      </c>
      <c r="I3">
        <v>76000</v>
      </c>
      <c r="J3" t="s">
        <v>19</v>
      </c>
      <c r="K3" t="s">
        <v>20</v>
      </c>
      <c r="L3" t="str">
        <f>IF(AND(Sales_Data[[#This Row],[Revenue]]&gt;=50000,Sales_Data[[#This Row],[Target_Met]]="Yes"),"High Perfomer","Needs Review")</f>
        <v>Needs Review</v>
      </c>
    </row>
    <row r="4" spans="1:12" x14ac:dyDescent="0.25">
      <c r="A4">
        <v>1003</v>
      </c>
      <c r="B4" s="1">
        <v>45660</v>
      </c>
      <c r="C4" t="s">
        <v>11</v>
      </c>
      <c r="D4" t="s">
        <v>12</v>
      </c>
      <c r="E4" t="s">
        <v>21</v>
      </c>
      <c r="F4">
        <v>10</v>
      </c>
      <c r="G4">
        <v>1200</v>
      </c>
      <c r="H4" s="2">
        <v>0</v>
      </c>
      <c r="I4">
        <v>12000</v>
      </c>
      <c r="J4" t="s">
        <v>14</v>
      </c>
      <c r="K4" t="s">
        <v>20</v>
      </c>
      <c r="L4" t="str">
        <f>IF(AND(Sales_Data[[#This Row],[Revenue]]&gt;=50000,Sales_Data[[#This Row],[Target_Met]]="Yes"),"High Perfomer","Needs Review")</f>
        <v>Needs Review</v>
      </c>
    </row>
    <row r="5" spans="1:12" x14ac:dyDescent="0.25">
      <c r="A5">
        <v>1004</v>
      </c>
      <c r="B5" s="1">
        <v>45661</v>
      </c>
      <c r="C5" t="s">
        <v>22</v>
      </c>
      <c r="D5" t="s">
        <v>23</v>
      </c>
      <c r="E5" t="s">
        <v>13</v>
      </c>
      <c r="F5">
        <v>1</v>
      </c>
      <c r="G5">
        <v>30000</v>
      </c>
      <c r="H5" s="2">
        <v>0.15</v>
      </c>
      <c r="I5">
        <v>25500</v>
      </c>
      <c r="J5" t="s">
        <v>19</v>
      </c>
      <c r="K5" t="s">
        <v>15</v>
      </c>
      <c r="L5" t="str">
        <f>IF(AND(Sales_Data[[#This Row],[Revenue]]&gt;=50000,Sales_Data[[#This Row],[Target_Met]]="Yes"),"High Perfomer","Needs Review")</f>
        <v>Needs Review</v>
      </c>
    </row>
    <row r="6" spans="1:12" x14ac:dyDescent="0.25">
      <c r="A6">
        <v>1005</v>
      </c>
      <c r="B6" s="1">
        <v>45662</v>
      </c>
      <c r="C6" t="s">
        <v>16</v>
      </c>
      <c r="D6" t="s">
        <v>17</v>
      </c>
      <c r="E6" t="s">
        <v>13</v>
      </c>
      <c r="F6">
        <v>4</v>
      </c>
      <c r="G6">
        <v>22000</v>
      </c>
      <c r="H6" s="2">
        <v>0.1</v>
      </c>
      <c r="I6">
        <v>79200</v>
      </c>
      <c r="J6" t="s">
        <v>14</v>
      </c>
      <c r="K6" t="s">
        <v>15</v>
      </c>
      <c r="L6" t="str">
        <f>IF(AND(Sales_Data[[#This Row],[Revenue]]&gt;=50000,Sales_Data[[#This Row],[Target_Met]]="Yes"),"High Perfomer","Needs Review")</f>
        <v>High Perfomer</v>
      </c>
    </row>
    <row r="7" spans="1:12" x14ac:dyDescent="0.25">
      <c r="A7">
        <v>1006</v>
      </c>
      <c r="B7" s="1">
        <v>45663</v>
      </c>
      <c r="C7" t="s">
        <v>24</v>
      </c>
      <c r="D7" t="s">
        <v>25</v>
      </c>
      <c r="E7" t="s">
        <v>18</v>
      </c>
      <c r="F7">
        <v>1</v>
      </c>
      <c r="G7">
        <v>55000</v>
      </c>
      <c r="H7" s="2">
        <v>0</v>
      </c>
      <c r="I7">
        <v>55000</v>
      </c>
      <c r="J7" t="s">
        <v>14</v>
      </c>
      <c r="K7" t="s">
        <v>20</v>
      </c>
      <c r="L7" t="str">
        <f>IF(AND(Sales_Data[[#This Row],[Revenue]]&gt;=50000,Sales_Data[[#This Row],[Target_Met]]="Yes"),"High Perfomer","Needs Review")</f>
        <v>High Perfomer</v>
      </c>
    </row>
    <row r="8" spans="1:12" x14ac:dyDescent="0.25">
      <c r="A8">
        <v>1007</v>
      </c>
      <c r="B8" s="1">
        <v>45664</v>
      </c>
      <c r="C8" t="s">
        <v>11</v>
      </c>
      <c r="D8" t="s">
        <v>12</v>
      </c>
      <c r="E8" t="s">
        <v>18</v>
      </c>
      <c r="F8">
        <v>2</v>
      </c>
      <c r="G8">
        <v>45000</v>
      </c>
      <c r="H8" s="2">
        <v>0.05</v>
      </c>
      <c r="I8">
        <v>85500</v>
      </c>
      <c r="J8" t="s">
        <v>14</v>
      </c>
      <c r="K8" t="s">
        <v>15</v>
      </c>
      <c r="L8" t="str">
        <f>IF(AND(Sales_Data[[#This Row],[Revenue]]&gt;=50000,Sales_Data[[#This Row],[Target_Met]]="Yes"),"High Perfomer","Needs Review")</f>
        <v>High Perfomer</v>
      </c>
    </row>
    <row r="9" spans="1:12" x14ac:dyDescent="0.25">
      <c r="A9">
        <v>1008</v>
      </c>
      <c r="B9" s="1">
        <v>45665</v>
      </c>
      <c r="C9" t="s">
        <v>22</v>
      </c>
      <c r="D9" t="s">
        <v>23</v>
      </c>
      <c r="E9" t="s">
        <v>21</v>
      </c>
      <c r="F9">
        <v>15</v>
      </c>
      <c r="G9">
        <v>1000</v>
      </c>
      <c r="H9" s="2">
        <v>0</v>
      </c>
      <c r="I9">
        <v>15000</v>
      </c>
      <c r="J9" t="s">
        <v>19</v>
      </c>
      <c r="K9" t="s">
        <v>20</v>
      </c>
      <c r="L9" t="str">
        <f>IF(AND(Sales_Data[[#This Row],[Revenue]]&gt;=50000,Sales_Data[[#This Row],[Target_Met]]="Yes"),"High Perfomer","Needs Review")</f>
        <v>Needs Review</v>
      </c>
    </row>
    <row r="10" spans="1:12" x14ac:dyDescent="0.25">
      <c r="A10">
        <v>1009</v>
      </c>
      <c r="B10" s="1">
        <v>45666</v>
      </c>
      <c r="C10" t="s">
        <v>24</v>
      </c>
      <c r="D10" t="s">
        <v>25</v>
      </c>
      <c r="E10" t="s">
        <v>13</v>
      </c>
      <c r="F10">
        <v>2</v>
      </c>
      <c r="G10">
        <v>28000</v>
      </c>
      <c r="H10" s="2">
        <v>0.1</v>
      </c>
      <c r="I10">
        <v>50400</v>
      </c>
      <c r="J10" t="s">
        <v>14</v>
      </c>
      <c r="K10" t="s">
        <v>15</v>
      </c>
      <c r="L10" t="str">
        <f>IF(AND(Sales_Data[[#This Row],[Revenue]]&gt;=50000,Sales_Data[[#This Row],[Target_Met]]="Yes"),"High Perfomer","Needs Review")</f>
        <v>High Perfomer</v>
      </c>
    </row>
    <row r="11" spans="1:12" x14ac:dyDescent="0.25">
      <c r="A11">
        <v>1010</v>
      </c>
      <c r="B11" s="1">
        <v>45667</v>
      </c>
      <c r="C11" t="s">
        <v>16</v>
      </c>
      <c r="D11" t="s">
        <v>17</v>
      </c>
      <c r="E11" t="s">
        <v>21</v>
      </c>
      <c r="F11">
        <v>20</v>
      </c>
      <c r="G11">
        <v>900</v>
      </c>
      <c r="H11" s="2">
        <v>0</v>
      </c>
      <c r="I11">
        <v>18000</v>
      </c>
      <c r="J11" t="s">
        <v>19</v>
      </c>
      <c r="K11" t="s">
        <v>15</v>
      </c>
      <c r="L11" t="str">
        <f>IF(AND(Sales_Data[[#This Row],[Revenue]]&gt;=50000,Sales_Data[[#This Row],[Target_Met]]="Yes"),"High Perfomer","Needs Review")</f>
        <v>Needs Review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>
      <selection activeCell="G23" sqref="G23"/>
    </sheetView>
  </sheetViews>
  <sheetFormatPr defaultRowHeight="15" x14ac:dyDescent="0.25"/>
  <cols>
    <col min="1" max="1" width="18.28515625" customWidth="1"/>
    <col min="2" max="2" width="19" customWidth="1"/>
    <col min="3" max="3" width="15.7109375" customWidth="1"/>
    <col min="4" max="4" width="14.7109375" customWidth="1"/>
    <col min="5" max="5" width="18.85546875" customWidth="1"/>
    <col min="6" max="6" width="13.140625" customWidth="1"/>
    <col min="7" max="7" width="19.7109375" customWidth="1"/>
    <col min="8" max="8" width="15.5703125" customWidth="1"/>
  </cols>
  <sheetData>
    <row r="1" spans="1:8" x14ac:dyDescent="0.25">
      <c r="A1" s="3" t="s">
        <v>26</v>
      </c>
    </row>
    <row r="2" spans="1:8" x14ac:dyDescent="0.25">
      <c r="A2" t="s">
        <v>27</v>
      </c>
      <c r="C2">
        <f>SUM(Sales_Data[Revenue])</f>
        <v>484100</v>
      </c>
    </row>
    <row r="3" spans="1:8" x14ac:dyDescent="0.25">
      <c r="A3" t="s">
        <v>28</v>
      </c>
      <c r="C3">
        <f>AVERAGE(Sales_Data[Revenue])</f>
        <v>48410</v>
      </c>
    </row>
    <row r="4" spans="1:8" x14ac:dyDescent="0.25">
      <c r="A4" t="s">
        <v>29</v>
      </c>
      <c r="C4">
        <f>COUNT(Sales_Data[Order_ID])</f>
        <v>10</v>
      </c>
    </row>
    <row r="5" spans="1:8" x14ac:dyDescent="0.25">
      <c r="A5" t="s">
        <v>30</v>
      </c>
      <c r="C5" s="4">
        <f>COUNTIF(Sales_Data[Target_Met],"Yes")/COUNT(Sales_Data[Order_ID])</f>
        <v>0.6</v>
      </c>
    </row>
    <row r="8" spans="1:8" x14ac:dyDescent="0.25">
      <c r="A8" s="3" t="s">
        <v>31</v>
      </c>
    </row>
    <row r="9" spans="1:8" x14ac:dyDescent="0.25">
      <c r="A9" t="s">
        <v>32</v>
      </c>
      <c r="B9" t="s">
        <v>27</v>
      </c>
      <c r="C9" t="s">
        <v>34</v>
      </c>
      <c r="D9" t="s">
        <v>33</v>
      </c>
      <c r="E9" t="s">
        <v>13</v>
      </c>
      <c r="F9" t="s">
        <v>18</v>
      </c>
      <c r="G9" t="s">
        <v>21</v>
      </c>
    </row>
    <row r="10" spans="1:8" x14ac:dyDescent="0.25">
      <c r="A10" t="s">
        <v>11</v>
      </c>
      <c r="B10">
        <f>SUMIF(Sales_Data[Sales_Rep],Sales_rep_performance[[#This Row],[Sales Rep]],Sales_Data[Revenue])</f>
        <v>165000</v>
      </c>
      <c r="C10">
        <f>COUNTIF(Sales_Data[Sales_Rep],Sales_rep_performance[[#This Row],[Sales Rep]])</f>
        <v>3</v>
      </c>
      <c r="D10">
        <f>AVERAGEIF(Sales_Data[Sales_Rep],Sales_rep_performance[[#This Row],[Sales Rep]],Sales_Data[Revenue])</f>
        <v>55000</v>
      </c>
      <c r="E10">
        <f>SUMIFS(Sales_Data[Revenue],Sales_Data[Product_Category],"Electronics",Sales_Data[Sales_Rep],Sales_rep_performance[[#This Row],[Sales Rep]])</f>
        <v>67500</v>
      </c>
      <c r="F10">
        <f>SUMIFS(Sales_Data[Revenue],Sales_Data[Product_Category],"Furniture",Sales_Data[Sales_Rep],Sales_rep_performance[[#This Row],[Sales Rep]])</f>
        <v>85500</v>
      </c>
      <c r="G10">
        <f>SUMIFS(Sales_Data[Revenue],Sales_Data[Product_Category],"Office Supplies",Sales_Data[Sales_Rep],Sales_rep_performance[[#This Row],[Sales Rep]])</f>
        <v>12000</v>
      </c>
    </row>
    <row r="11" spans="1:8" x14ac:dyDescent="0.25">
      <c r="A11" t="s">
        <v>16</v>
      </c>
      <c r="B11">
        <f>SUMIF(Sales_Data[Sales_Rep],Sales_rep_performance[[#This Row],[Sales Rep]],Sales_Data[Revenue])</f>
        <v>173200</v>
      </c>
      <c r="C11">
        <f>COUNTIF(Sales_Data[Sales_Rep],Sales_rep_performance[[#This Row],[Sales Rep]])</f>
        <v>3</v>
      </c>
      <c r="D11">
        <f>AVERAGEIF(Sales_Data[Sales_Rep],Sales_rep_performance[[#This Row],[Sales Rep]],Sales_Data[Revenue])</f>
        <v>57733.333333333336</v>
      </c>
      <c r="E11">
        <f>SUMIFS(Sales_Data[Revenue],Sales_Data[Product_Category],"Electronics",Sales_Data[Sales_Rep],Sales_rep_performance[[#This Row],[Sales Rep]])</f>
        <v>79200</v>
      </c>
      <c r="F11">
        <f>SUMIFS(Sales_Data[Revenue],Sales_Data[Product_Category],"Furniture",Sales_Data[Sales_Rep],Sales_rep_performance[[#This Row],[Sales Rep]])</f>
        <v>76000</v>
      </c>
      <c r="G11">
        <f>SUMIFS(Sales_Data[Revenue],Sales_Data[Product_Category],"Office Supplies",Sales_Data[Sales_Rep],Sales_rep_performance[[#This Row],[Sales Rep]])</f>
        <v>18000</v>
      </c>
    </row>
    <row r="12" spans="1:8" x14ac:dyDescent="0.25">
      <c r="A12" t="s">
        <v>22</v>
      </c>
      <c r="B12">
        <f>SUMIF(Sales_Data[Sales_Rep],Sales_rep_performance[[#This Row],[Sales Rep]],Sales_Data[Revenue])</f>
        <v>40500</v>
      </c>
      <c r="C12">
        <f>COUNTIF(Sales_Data[Sales_Rep],Sales_rep_performance[[#This Row],[Sales Rep]])</f>
        <v>2</v>
      </c>
      <c r="D12">
        <f>AVERAGEIF(Sales_Data[Sales_Rep],Sales_rep_performance[[#This Row],[Sales Rep]],Sales_Data[Revenue])</f>
        <v>20250</v>
      </c>
      <c r="E12">
        <f>SUMIFS(Sales_Data[Revenue],Sales_Data[Product_Category],"Electronics",Sales_Data[Sales_Rep],Sales_rep_performance[[#This Row],[Sales Rep]])</f>
        <v>25500</v>
      </c>
      <c r="F12">
        <f>SUMIFS(Sales_Data[Revenue],Sales_Data[Product_Category],"Furniture",Sales_Data[Sales_Rep],Sales_rep_performance[[#This Row],[Sales Rep]])</f>
        <v>0</v>
      </c>
      <c r="G12">
        <f>SUMIFS(Sales_Data[Revenue],Sales_Data[Product_Category],"Office Supplies",Sales_Data[Sales_Rep],Sales_rep_performance[[#This Row],[Sales Rep]])</f>
        <v>15000</v>
      </c>
    </row>
    <row r="13" spans="1:8" x14ac:dyDescent="0.25">
      <c r="A13" t="s">
        <v>24</v>
      </c>
      <c r="B13">
        <f>SUMIF(Sales_Data[Sales_Rep],Sales_rep_performance[[#This Row],[Sales Rep]],Sales_Data[Revenue])</f>
        <v>105400</v>
      </c>
      <c r="C13">
        <f>COUNTIF(Sales_Data[Sales_Rep],Sales_rep_performance[[#This Row],[Sales Rep]])</f>
        <v>2</v>
      </c>
      <c r="D13">
        <f>AVERAGEIF(Sales_Data[Sales_Rep],Sales_rep_performance[[#This Row],[Sales Rep]],Sales_Data[Revenue])</f>
        <v>52700</v>
      </c>
      <c r="E13">
        <f>SUMIFS(Sales_Data[Revenue],Sales_Data[Product_Category],"Electronics",Sales_Data[Sales_Rep],Sales_rep_performance[[#This Row],[Sales Rep]])</f>
        <v>50400</v>
      </c>
      <c r="F13">
        <f>SUMIFS(Sales_Data[Revenue],Sales_Data[Product_Category],"Furniture",Sales_Data[Sales_Rep],Sales_rep_performance[[#This Row],[Sales Rep]])</f>
        <v>55000</v>
      </c>
      <c r="G13">
        <f>SUMIFS(Sales_Data[Revenue],Sales_Data[Product_Category],"Office Supplies",Sales_Data[Sales_Rep],Sales_rep_performance[[#This Row],[Sales Rep]])</f>
        <v>0</v>
      </c>
    </row>
    <row r="16" spans="1:8" x14ac:dyDescent="0.25">
      <c r="A16" t="s">
        <v>36</v>
      </c>
      <c r="B16" t="s">
        <v>27</v>
      </c>
      <c r="D16" t="s">
        <v>37</v>
      </c>
      <c r="E16" t="s">
        <v>38</v>
      </c>
      <c r="G16" t="s">
        <v>41</v>
      </c>
      <c r="H16" t="s">
        <v>8</v>
      </c>
    </row>
    <row r="17" spans="1:8" x14ac:dyDescent="0.25">
      <c r="A17" t="s">
        <v>13</v>
      </c>
      <c r="B17">
        <f>SUMIF(Sales_Data[Product_Category],Revenue_by_productcategory[[#This Row],[Product Category]],Sales_Data[Revenue])</f>
        <v>222600</v>
      </c>
      <c r="D17" t="s">
        <v>39</v>
      </c>
      <c r="E17">
        <f>COUNTIF(Sales_Data[Target_Met],"Yes")</f>
        <v>6</v>
      </c>
      <c r="G17" t="s">
        <v>42</v>
      </c>
      <c r="H17">
        <f>SUMIF(Sales_Data[Customer_Type],"New",Sales_Data[Revenue])</f>
        <v>326100</v>
      </c>
    </row>
    <row r="18" spans="1:8" x14ac:dyDescent="0.25">
      <c r="A18" t="s">
        <v>18</v>
      </c>
      <c r="B18">
        <f>SUMIF(Sales_Data[Product_Category],Revenue_by_productcategory[[#This Row],[Product Category]],Sales_Data[Revenue])</f>
        <v>216500</v>
      </c>
      <c r="D18" t="s">
        <v>40</v>
      </c>
      <c r="E18">
        <f>COUNTIF(Sales_Data[Target_Met],"No")</f>
        <v>4</v>
      </c>
      <c r="G18" t="s">
        <v>43</v>
      </c>
      <c r="H18">
        <f>SUMIF(Sales_Data[Customer_Type],"Returning",Sales_Data[Revenue])</f>
        <v>158000</v>
      </c>
    </row>
    <row r="19" spans="1:8" x14ac:dyDescent="0.25">
      <c r="A19" t="s">
        <v>21</v>
      </c>
      <c r="B19">
        <f>SUMIF(Sales_Data[Product_Category],Revenue_by_productcategory[[#This Row],[Product Category]],Sales_Data[Revenue])</f>
        <v>45000</v>
      </c>
    </row>
    <row r="22" spans="1:8" x14ac:dyDescent="0.25">
      <c r="A22" t="s">
        <v>3</v>
      </c>
      <c r="B22" t="s">
        <v>27</v>
      </c>
      <c r="C22" t="s">
        <v>13</v>
      </c>
      <c r="D22" t="s">
        <v>18</v>
      </c>
      <c r="E22" t="s">
        <v>21</v>
      </c>
    </row>
    <row r="23" spans="1:8" x14ac:dyDescent="0.25">
      <c r="A23" t="s">
        <v>12</v>
      </c>
      <c r="B23">
        <f>SUMIF(Sales_Data[Region],Revenue_per_Region[[#This Row],[Region]],Sales_Data[Revenue])</f>
        <v>165000</v>
      </c>
      <c r="C23">
        <f>SUMIFS(Sales_Data[Revenue],Sales_Data[Product_Category],"Electronics",Sales_Data[Region],Revenue_per_Region[[#This Row],[Region]])</f>
        <v>67500</v>
      </c>
      <c r="D23">
        <f>SUMIFS(Sales_Data[Revenue],Sales_Data[Product_Category],"Furniture",Sales_Data[Region],Revenue_per_Region[[#This Row],[Region]])</f>
        <v>85500</v>
      </c>
      <c r="E23">
        <f>SUMIFS(Sales_Data[Revenue],Sales_Data[Product_Category],"Office Supplies",Sales_Data[Region],Revenue_per_Region[[#This Row],[Region]])</f>
        <v>12000</v>
      </c>
    </row>
    <row r="24" spans="1:8" x14ac:dyDescent="0.25">
      <c r="A24" t="s">
        <v>17</v>
      </c>
      <c r="B24">
        <f>SUMIF(Sales_Data[Region],Revenue_per_Region[[#This Row],[Region]],Sales_Data[Revenue])</f>
        <v>173200</v>
      </c>
      <c r="C24">
        <f>SUMIFS(Sales_Data[Revenue],Sales_Data[Product_Category],"Electronics",Sales_Data[Region],Revenue_per_Region[[#This Row],[Region]])</f>
        <v>79200</v>
      </c>
      <c r="D24">
        <f>SUMIFS(Sales_Data[Revenue],Sales_Data[Product_Category],"Furniture",Sales_Data[Region],Revenue_per_Region[[#This Row],[Region]])</f>
        <v>76000</v>
      </c>
      <c r="E24">
        <f>SUMIFS(Sales_Data[Revenue],Sales_Data[Product_Category],"Office Supplies",Sales_Data[Region],Revenue_per_Region[[#This Row],[Region]])</f>
        <v>18000</v>
      </c>
    </row>
    <row r="25" spans="1:8" x14ac:dyDescent="0.25">
      <c r="A25" t="s">
        <v>25</v>
      </c>
      <c r="B25">
        <f>SUMIF(Sales_Data[Region],Revenue_per_Region[[#This Row],[Region]],Sales_Data[Revenue])</f>
        <v>105400</v>
      </c>
      <c r="C25">
        <f>SUMIFS(Sales_Data[Revenue],Sales_Data[Product_Category],"Electronics",Sales_Data[Region],Revenue_per_Region[[#This Row],[Region]])</f>
        <v>50400</v>
      </c>
      <c r="D25">
        <f>SUMIFS(Sales_Data[Revenue],Sales_Data[Product_Category],"Furniture",Sales_Data[Region],Revenue_per_Region[[#This Row],[Region]])</f>
        <v>55000</v>
      </c>
      <c r="E25">
        <f>SUMIFS(Sales_Data[Revenue],Sales_Data[Product_Category],"Office Supplies",Sales_Data[Region],Revenue_per_Region[[#This Row],[Region]])</f>
        <v>0</v>
      </c>
    </row>
    <row r="26" spans="1:8" x14ac:dyDescent="0.25">
      <c r="A26" t="s">
        <v>23</v>
      </c>
      <c r="B26">
        <f>SUMIF(Sales_Data[Region],Revenue_per_Region[[#This Row],[Region]],Sales_Data[Revenue])</f>
        <v>40500</v>
      </c>
      <c r="C26">
        <f>SUMIFS(Sales_Data[Revenue],Sales_Data[Product_Category],"Electronics",Sales_Data[Region],Revenue_per_Region[[#This Row],[Region]])</f>
        <v>25500</v>
      </c>
      <c r="D26">
        <f>SUMIFS(Sales_Data[Revenue],Sales_Data[Product_Category],"Furniture",Sales_Data[Region],Revenue_per_Region[[#This Row],[Region]])</f>
        <v>0</v>
      </c>
      <c r="E26">
        <f>SUMIFS(Sales_Data[Revenue],Sales_Data[Product_Category],"Office Supplies",Sales_Data[Region],Revenue_per_Region[[#This Row],[Region]])</f>
        <v>15000</v>
      </c>
    </row>
  </sheetData>
  <pageMargins left="0.7" right="0.7" top="0.75" bottom="0.75" header="0.3" footer="0.3"/>
  <pageSetup orientation="portrait" r:id="rId1"/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22" workbookViewId="0">
      <selection activeCell="K47" sqref="K47"/>
    </sheetView>
  </sheetViews>
  <sheetFormatPr defaultRowHeight="15" x14ac:dyDescent="0.25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407A5-197A-402E-B043-D11DAEEF4BB1}">
  <dimension ref="A1:A13"/>
  <sheetViews>
    <sheetView tabSelected="1" workbookViewId="0">
      <selection activeCell="O13" sqref="O13"/>
    </sheetView>
  </sheetViews>
  <sheetFormatPr defaultRowHeight="15" x14ac:dyDescent="0.25"/>
  <cols>
    <col min="1" max="16384" width="9.140625" style="6"/>
  </cols>
  <sheetData>
    <row r="1" spans="1:1" x14ac:dyDescent="0.25">
      <c r="A1" s="5" t="s">
        <v>44</v>
      </c>
    </row>
    <row r="2" spans="1:1" x14ac:dyDescent="0.25">
      <c r="A2" s="6" t="s">
        <v>45</v>
      </c>
    </row>
    <row r="3" spans="1:1" x14ac:dyDescent="0.25">
      <c r="A3" s="6" t="s">
        <v>46</v>
      </c>
    </row>
    <row r="4" spans="1:1" x14ac:dyDescent="0.25">
      <c r="A4" s="6" t="s">
        <v>47</v>
      </c>
    </row>
    <row r="5" spans="1:1" x14ac:dyDescent="0.25">
      <c r="A5" s="6" t="s">
        <v>48</v>
      </c>
    </row>
    <row r="6" spans="1:1" x14ac:dyDescent="0.25">
      <c r="A6" s="6" t="s">
        <v>49</v>
      </c>
    </row>
    <row r="7" spans="1:1" x14ac:dyDescent="0.25">
      <c r="A7" s="6" t="s">
        <v>50</v>
      </c>
    </row>
    <row r="10" spans="1:1" x14ac:dyDescent="0.25">
      <c r="A10" s="5" t="s">
        <v>51</v>
      </c>
    </row>
    <row r="11" spans="1:1" x14ac:dyDescent="0.25">
      <c r="A11" s="6" t="s">
        <v>52</v>
      </c>
    </row>
    <row r="12" spans="1:1" x14ac:dyDescent="0.25">
      <c r="A12" s="6" t="s">
        <v>53</v>
      </c>
    </row>
    <row r="13" spans="1:1" x14ac:dyDescent="0.25">
      <c r="A13" s="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Calculations</vt:lpstr>
      <vt:lpstr>Summary dashboard</vt:lpstr>
      <vt:lpstr>Insights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Rael Ruwa</cp:lastModifiedBy>
  <dcterms:created xsi:type="dcterms:W3CDTF">2026-01-30T09:22:14Z</dcterms:created>
  <dcterms:modified xsi:type="dcterms:W3CDTF">2026-02-02T12:41:43Z</dcterms:modified>
</cp:coreProperties>
</file>